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c33a3dac1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67f919fe1b1438a"/>
    <x:sheet xmlns:r="http://schemas.openxmlformats.org/officeDocument/2006/relationships" name="Previsao" sheetId="2" r:id="R58a324917f84461e"/>
    <x:sheet xmlns:r="http://schemas.openxmlformats.org/officeDocument/2006/relationships" name="Metodos" sheetId="3" r:id="R5c34aa27c29d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[Red](&quot;R$&quot; #,##0.00)"/>
    <x:numFmt numFmtId="201" formatCode="dd/mm/yyyy"/>
    <x:numFmt numFmtId="202" formatCode="0.0%"/>
  </x:numFmts>
  <x:fonts count="4">
    <x:font>
      <x:sz val="11"/>
      <x:name val="Carlito"/>
    </x:font>
    <x:font>
      <x:sz val="10"/>
      <x:color rgb="FF223D32"/>
      <x:name val="Arial"/>
    </x:font>
    <x:font>
      <x:b/>
      <x:sz val="10"/>
      <x:color rgb="FFFFFFFF"/>
      <x:name val="Arial"/>
    </x:font>
    <x:font>
      <x:b/>
      <x:sz val="13"/>
      <x:color rgb="FF176F6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C35"/>
      </x:patternFill>
    </x:fill>
    <x:fill>
      <x:patternFill patternType="solid">
        <x:fgColor rgb="FFEAF2EF"/>
      </x:patternFill>
    </x:fill>
    <x:fill>
      <x:patternFill patternType="solid">
        <x:fgColor rgb="FF173C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18c2115d04d11" /><Relationship Type="http://schemas.openxmlformats.org/officeDocument/2006/relationships/theme" Target="/xl/theme/theme1.xml" Id="R7695504702644aa1" /><Relationship Type="http://schemas.openxmlformats.org/officeDocument/2006/relationships/sharedStrings" Target="/xl/sharedStrings.xml" Id="Rdc91b55cfb904af8" /><Relationship Type="http://schemas.openxmlformats.org/officeDocument/2006/relationships/worksheet" Target="/xl/worksheets/sheet1.xml" Id="Ra67f919fe1b1438a" /><Relationship Type="http://schemas.openxmlformats.org/officeDocument/2006/relationships/worksheet" Target="/xl/worksheets/sheet2.xml" Id="R58a324917f84461e" /><Relationship Type="http://schemas.openxmlformats.org/officeDocument/2006/relationships/worksheet" Target="/xl/worksheets/sheet3.xml" Id="R5c34aa27c29d4e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fda4ba254d4c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Saldo estimado · dados fictícios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Saldo estimado</c:v>
          </c:tx>
          <c:spPr>
            <a:solidFill xmlns:a="http://schemas.openxmlformats.org/drawingml/2006/main">
              <a:srgbClr val="258F83"/>
            </a:solidFill>
            <a:ln xmlns:a="http://schemas.openxmlformats.org/drawingml/2006/main" w="19050">
              <a:solidFill>
                <a:srgbClr val="258F83"/>
              </a:solidFill>
              <a:prstDash val="solid"/>
            </a:ln>
          </c:spPr>
          <c:marker>
            <c:symbol val="none"/>
          </c:marker>
          <c:cat>
            <c:strRef>
              <c:f>'Previsao'!$F$2:$F$31</c:f>
              <c:strCache>
                <c:ptCount val="0"/>
              </c:strCache>
            </c:strRef>
          </c:cat>
          <c:val>
            <c:numRef>
              <c:f>'Previsao'!$E$2:$E$31</c:f>
              <c:numCache>
                <c:formatCode>"R$" #,##0.00;[Red]("R$" #,##0.00)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da4ba254d4c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onieData_2_1" displayName="LoonieData_2_1" ref="A1:E31" headerRowCount="1" totalsRowCount="0" totalsRowShown="0">
  <x:tableColumns count="5">
    <x:tableColumn id="1" name="Data"/>
    <x:tableColumn id="2" name="Receitas estimadas"/>
    <x:tableColumn id="3" name="Despesas estimadas"/>
    <x:tableColumn id="4" name="Resultado estimado"/>
    <x:tableColumn id="5" name="Saldo estim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onieData_2_2" displayName="LoonieData_2_2" ref="A1:H3" headerRowCount="1" totalsRowCount="0" totalsRowShown="0">
  <x:tableColumns count="8">
    <x:tableColumn id="1" name="Série"/>
    <x:tableColumn id="2" name="Método escolhido"/>
    <x:tableColumn id="3" name="MAE LightGBM (R$/dia)"/>
    <x:tableColumn id="4" name="MAE referência (R$/dia)"/>
    <x:tableColumn id="5" name="WAPE escolhido"/>
    <x:tableColumn id="6" name="Dias de validação"/>
    <x:tableColumn id="7" name="Início"/>
    <x:tableColumn id="8" name="F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3b3a209bc84a5a" /><Relationship Type="http://schemas.openxmlformats.org/officeDocument/2006/relationships/table" Target="/xl/tables/table1.xml" Id="Rfdceae4098b3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2e695e39574d6d" /></Relationships>
</file>

<file path=xl/worksheets/sheet1.xml><?xml version="1.0" encoding="utf-8"?>
<x:worksheet xmlns:x="http://schemas.openxmlformats.org/spreadsheetml/2006/main">
  <x:sheetPr>
    <x:tabColor rgb="FF258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6" hidden="0" customWidth="1"/>
    <x:col min="3" max="3" width="80" hidden="0" customWidth="1"/>
  </x:cols>
  <x:sheetData>
    <x:row r="1" ht="35" customHeight="1">
      <x:c r="A1" s="5" t="str">
        <x:v>LOONIEMIND · RESUMO</x:v>
      </x:c>
      <x:c r="B1" s="5" t="str">
        <x:v>Valor</x:v>
      </x:c>
      <x:c r="C1" s="5" t="str">
        <x:v>Contexto</x:v>
      </x:c>
    </x:row>
    <x:row r="2" ht="43" customHeight="1">
      <x:c r="A2" s="6" t="str">
        <x:v>Empresa</x:v>
      </x:c>
      <x:c r="B2" s="6" t="str">
        <x:v>Aurora Comércio</x:v>
      </x:c>
      <x:c r="C2" s="6" t="str">
        <x:v>Dados sintéticos</x:v>
      </x:c>
    </x:row>
    <x:row r="3" ht="43" customHeight="1">
      <x:c r="A3" s="6" t="str">
        <x:v>Base até</x:v>
      </x:c>
      <x:c r="B3" s="6" t="str">
        <x:v>2026-10-27</x:v>
      </x:c>
      <x:c r="C3" s="6" t="str">
        <x:v>1095 dias de histórico</x:v>
      </x:c>
    </x:row>
    <x:row r="4" ht="43" customHeight="1">
      <x:c r="A4" s="6" t="str">
        <x:v>Horizonte</x:v>
      </x:c>
      <x:c r="B4" s="6" t="n">
        <x:v>30</x:v>
      </x:c>
      <x:c r="C4" s="6" t="str">
        <x:v>Dias a partir do dia seguinte à data-base</x:v>
      </x:c>
    </x:row>
    <x:row r="5" ht="43" customHeight="1">
      <x:c r="A5" s="6" t="str">
        <x:v>Saldo atual</x:v>
      </x:c>
      <x:c r="B5" s="7" t="n">
        <x:v>401193.04</x:v>
      </x:c>
      <x:c r="C5" s="6" t="str">
        <x:v>Saldo realizado de partida</x:v>
      </x:c>
    </x:row>
    <x:row r="6" ht="43" customHeight="1">
      <x:c r="A6" s="6" t="str">
        <x:v>Receitas estimadas</x:v>
      </x:c>
      <x:c r="B6" s="7" t="n">
        <x:f>SUM(Previsao!B2:B31)</x:f>
        <x:v>40329.60999999999</x:v>
      </x:c>
      <x:c r="C6" s="6" t="str">
        <x:v>Estimativa estatística</x:v>
      </x:c>
    </x:row>
    <x:row r="7" ht="43" customHeight="1">
      <x:c r="A7" s="6" t="str">
        <x:v>Despesas estimadas</x:v>
      </x:c>
      <x:c r="B7" s="7" t="n">
        <x:f>SUM(Previsao!C2:C31)</x:f>
        <x:v>25295.449999999993</x:v>
      </x:c>
      <x:c r="C7" s="6" t="str">
        <x:v>Estimativa estatística</x:v>
      </x:c>
    </x:row>
    <x:row r="8" ht="43" customHeight="1">
      <x:c r="A8" s="9" t="str">
        <x:v>Saldo final estimado</x:v>
      </x:c>
      <x:c r="B8" s="10" t="n">
        <x:f>Previsao!E31</x:f>
        <x:v>416227.2000000002</x:v>
      </x:c>
      <x:c r="C8" s="9" t="str">
        <x:v>Saldo atual + entradas - saídas estimadas</x:v>
      </x:c>
    </x:row>
    <x:row r="9" ht="43" customHeight="1">
      <x:c r="A9" s="9" t="str">
        <x:v>Menor saldo estimado</x:v>
      </x:c>
      <x:c r="B9" s="11" t="n">
        <x:f>MIN(Previsao!E2:E31)</x:f>
        <x:v>399807.13</x:v>
      </x:c>
      <x:c r="C9" s="9" t="str">
        <x:v>Menor saldo entre as datas futuras</x:v>
      </x:c>
    </x:row>
    <x:row r="10" ht="43" customHeight="1">
      <x:c r="A10" s="6" t="str">
        <x:v>Método</x:v>
      </x:c>
      <x:c r="B10" s="6" t="str">
        <x:v>LightGBM Regressor</x:v>
      </x:c>
      <x:c r="C10" s="6" t="str">
        <x:v>Seleção por menor MAE na validação cronológica</x:v>
      </x:c>
    </x:row>
    <x:row r="11" ht="76" customHeight="1">
      <x:c r="A11" s="6" t="str">
        <x:v>Limitação</x:v>
      </x:c>
      <x:c r="B11" s="6" t="str">
        <x:v>Estimativa, não garantia. Dias sem lançamentos no histórico são considerados sem movimentação. Confira se os arquivos cobrem todo o período.</x:v>
      </x:c>
      <x:c r="C11" s="6" t="str">
        <x:v>Não representa agenda de contas a pagar nem garantia de caixa futuro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8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8" hidden="0" customWidth="1"/>
  </x:cols>
  <x:sheetData>
    <x:row r="1" ht="35" customHeight="1">
      <x:c r="A1" s="5" t="str">
        <x:v>Data</x:v>
      </x:c>
      <x:c r="B1" s="5" t="str">
        <x:v>Receitas estimadas</x:v>
      </x:c>
      <x:c r="C1" s="5" t="str">
        <x:v>Despesas estimadas</x:v>
      </x:c>
      <x:c r="D1" s="5" t="str">
        <x:v>Resultado estimado</x:v>
      </x:c>
      <x:c r="E1" s="5" t="str">
        <x:v>Saldo estimado</x:v>
      </x:c>
      <x:c r="F1" s="16" t="str">
        <x:v>Data no gráfico</x:v>
      </x:c>
    </x:row>
    <x:row r="2" ht="22" customHeight="1">
      <x:c r="A2" s="13" t="d">
        <x:v>2026-10-28T12:00:00.000Z</x:v>
      </x:c>
      <x:c r="B2" s="12" t="n">
        <x:v>1286.36</x:v>
      </x:c>
      <x:c r="C2" s="12" t="n">
        <x:v>530.5</x:v>
      </x:c>
      <x:c r="D2" s="12" t="n">
        <x:f>B2-C2</x:f>
        <x:v>755.8599999999999</x:v>
      </x:c>
      <x:c r="E2" s="12" t="n">
        <x:f>Resumo!B5+D2</x:f>
        <x:v>401948.89999999997</x:v>
      </x:c>
      <x:c r="F2" t="str">
        <x:f>TEXT(A2,"dd/mm")</x:f>
        <x:v>28/10</x:v>
      </x:c>
    </x:row>
    <x:row r="3" ht="22" customHeight="1">
      <x:c r="A3" s="13" t="d">
        <x:v>2026-10-29T12:00:00.000Z</x:v>
      </x:c>
      <x:c r="B3" s="12" t="n">
        <x:v>1299.72</x:v>
      </x:c>
      <x:c r="C3" s="12" t="n">
        <x:v>306.83</x:v>
      </x:c>
      <x:c r="D3" s="12" t="n">
        <x:f>B3-C3</x:f>
        <x:v>992.8900000000001</x:v>
      </x:c>
      <x:c r="E3" s="12" t="n">
        <x:f>E2+D3</x:f>
        <x:v>402941.79</x:v>
      </x:c>
      <x:c r="F3" t="str">
        <x:f>TEXT(A3,"dd/mm")</x:f>
        <x:v>29/10</x:v>
      </x:c>
    </x:row>
    <x:row r="4" ht="22" customHeight="1">
      <x:c r="A4" s="13" t="d">
        <x:v>2026-10-30T12:00:00.000Z</x:v>
      </x:c>
      <x:c r="B4" s="12" t="n">
        <x:v>1347.2</x:v>
      </x:c>
      <x:c r="C4" s="12" t="n">
        <x:v>516.26</x:v>
      </x:c>
      <x:c r="D4" s="12" t="n">
        <x:f>B4-C4</x:f>
        <x:v>830.94</x:v>
      </x:c>
      <x:c r="E4" s="12" t="n">
        <x:f>E3+D4</x:f>
        <x:v>403772.73</x:v>
      </x:c>
      <x:c r="F4" t="str">
        <x:f>TEXT(A4,"dd/mm")</x:f>
        <x:v>30/10</x:v>
      </x:c>
    </x:row>
    <x:row r="5" ht="22" customHeight="1">
      <x:c r="A5" s="13" t="d">
        <x:v>2026-10-31T12:00:00.000Z</x:v>
      </x:c>
      <x:c r="B5" s="12" t="n">
        <x:v>750.33</x:v>
      </x:c>
      <x:c r="C5" s="12" t="n">
        <x:v>89.98</x:v>
      </x:c>
      <x:c r="D5" s="12" t="n">
        <x:f>B5-C5</x:f>
        <x:v>660.35</x:v>
      </x:c>
      <x:c r="E5" s="12" t="n">
        <x:f>E4+D5</x:f>
        <x:v>404433.07999999996</x:v>
      </x:c>
      <x:c r="F5" t="str">
        <x:f>TEXT(A5,"dd/mm")</x:f>
        <x:v>31/10</x:v>
      </x:c>
    </x:row>
    <x:row r="6" ht="22" customHeight="1">
      <x:c r="A6" s="13" t="d">
        <x:v>2026-11-01T12:00:00.000Z</x:v>
      </x:c>
      <x:c r="B6" s="12" t="n">
        <x:v>784.15</x:v>
      </x:c>
      <x:c r="C6" s="12" t="n">
        <x:v>11.21</x:v>
      </x:c>
      <x:c r="D6" s="12" t="n">
        <x:f>B6-C6</x:f>
        <x:v>772.9399999999999</x:v>
      </x:c>
      <x:c r="E6" s="12" t="n">
        <x:f>E5+D6</x:f>
        <x:v>405206.01999999996</x:v>
      </x:c>
      <x:c r="F6" t="str">
        <x:f>TEXT(A6,"dd/mm")</x:f>
        <x:v>01/11</x:v>
      </x:c>
    </x:row>
    <x:row r="7" ht="22" customHeight="1">
      <x:c r="A7" s="13" t="d">
        <x:v>2026-11-02T12:00:00.000Z</x:v>
      </x:c>
      <x:c r="B7" s="12" t="n">
        <x:v>1494.77</x:v>
      </x:c>
      <x:c r="C7" s="12" t="n">
        <x:v>1289.91</x:v>
      </x:c>
      <x:c r="D7" s="12" t="n">
        <x:f>B7-C7</x:f>
        <x:v>204.8599999999999</x:v>
      </x:c>
      <x:c r="E7" s="12" t="n">
        <x:f>E6+D7</x:f>
        <x:v>405410.87999999995</x:v>
      </x:c>
      <x:c r="F7" t="str">
        <x:f>TEXT(A7,"dd/mm")</x:f>
        <x:v>02/11</x:v>
      </x:c>
    </x:row>
    <x:row r="8" ht="22" customHeight="1">
      <x:c r="A8" s="13" t="d">
        <x:v>2026-11-03T12:00:00.000Z</x:v>
      </x:c>
      <x:c r="B8" s="12" t="n">
        <x:v>1543.45</x:v>
      </x:c>
      <x:c r="C8" s="12" t="n">
        <x:v>682.62</x:v>
      </x:c>
      <x:c r="D8" s="12" t="n">
        <x:f>B8-C8</x:f>
        <x:v>860.83</x:v>
      </x:c>
      <x:c r="E8" s="12" t="n">
        <x:f>E7+D8</x:f>
        <x:v>406271.70999999996</x:v>
      </x:c>
      <x:c r="F8" t="str">
        <x:f>TEXT(A8,"dd/mm")</x:f>
        <x:v>03/11</x:v>
      </x:c>
    </x:row>
    <x:row r="9" ht="22" customHeight="1">
      <x:c r="A9" s="13" t="d">
        <x:v>2026-11-04T12:00:00.000Z</x:v>
      </x:c>
      <x:c r="B9" s="12" t="n">
        <x:v>1525.2</x:v>
      </x:c>
      <x:c r="C9" s="12" t="n">
        <x:v>2533.74</x:v>
      </x:c>
      <x:c r="D9" s="12" t="n">
        <x:f>B9-C9</x:f>
        <x:v>-1008.5399999999997</x:v>
      </x:c>
      <x:c r="E9" s="12" t="n">
        <x:f>E8+D9</x:f>
        <x:v>405263.17</x:v>
      </x:c>
      <x:c r="F9" t="str">
        <x:f>TEXT(A9,"dd/mm")</x:f>
        <x:v>04/11</x:v>
      </x:c>
    </x:row>
    <x:row r="10" ht="22" customHeight="1">
      <x:c r="A10" s="13" t="d">
        <x:v>2026-11-05T12:00:00.000Z</x:v>
      </x:c>
      <x:c r="B10" s="12" t="n">
        <x:v>1529.42</x:v>
      </x:c>
      <x:c r="C10" s="12" t="n">
        <x:v>6510.35</x:v>
      </x:c>
      <x:c r="D10" s="12" t="n">
        <x:f>B10-C10</x:f>
        <x:v>-4980.93</x:v>
      </x:c>
      <x:c r="E10" s="12" t="n">
        <x:f>E9+D10</x:f>
        <x:v>400282.24</x:v>
      </x:c>
      <x:c r="F10" t="str">
        <x:f>TEXT(A10,"dd/mm")</x:f>
        <x:v>05/11</x:v>
      </x:c>
    </x:row>
    <x:row r="11" ht="22" customHeight="1">
      <x:c r="A11" s="13" t="d">
        <x:v>2026-11-06T12:00:00.000Z</x:v>
      </x:c>
      <x:c r="B11" s="12" t="n">
        <x:v>1510.15</x:v>
      </x:c>
      <x:c r="C11" s="12" t="n">
        <x:v>1985.26</x:v>
      </x:c>
      <x:c r="D11" s="12" t="n">
        <x:f>B11-C11</x:f>
        <x:v>-475.1099999999999</x:v>
      </x:c>
      <x:c r="E11" s="12" t="n">
        <x:f>E10+D11</x:f>
        <x:v>399807.13</x:v>
      </x:c>
      <x:c r="F11" t="str">
        <x:f>TEXT(A11,"dd/mm")</x:f>
        <x:v>06/11</x:v>
      </x:c>
    </x:row>
    <x:row r="12" ht="22" customHeight="1">
      <x:c r="A12" s="13" t="d">
        <x:v>2026-11-07T12:00:00.000Z</x:v>
      </x:c>
      <x:c r="B12" s="12" t="n">
        <x:v>889.73</x:v>
      </x:c>
      <x:c r="C12" s="12" t="n">
        <x:v>34.8</x:v>
      </x:c>
      <x:c r="D12" s="12" t="n">
        <x:f>B12-C12</x:f>
        <x:v>854.9300000000001</x:v>
      </x:c>
      <x:c r="E12" s="12" t="n">
        <x:f>E11+D12</x:f>
        <x:v>400662.06</x:v>
      </x:c>
      <x:c r="F12" t="str">
        <x:f>TEXT(A12,"dd/mm")</x:f>
        <x:v>07/11</x:v>
      </x:c>
    </x:row>
    <x:row r="13" ht="22" customHeight="1">
      <x:c r="A13" s="13" t="d">
        <x:v>2026-11-08T12:00:00.000Z</x:v>
      </x:c>
      <x:c r="B13" s="12" t="n">
        <x:v>903.64</x:v>
      </x:c>
      <x:c r="C13" s="12" t="n">
        <x:v>36.7</x:v>
      </x:c>
      <x:c r="D13" s="12" t="n">
        <x:f>B13-C13</x:f>
        <x:v>866.9399999999999</x:v>
      </x:c>
      <x:c r="E13" s="12" t="n">
        <x:f>E12+D13</x:f>
        <x:v>401529</x:v>
      </x:c>
      <x:c r="F13" t="str">
        <x:f>TEXT(A13,"dd/mm")</x:f>
        <x:v>08/11</x:v>
      </x:c>
    </x:row>
    <x:row r="14" ht="22" customHeight="1">
      <x:c r="A14" s="13" t="d">
        <x:v>2026-11-09T12:00:00.000Z</x:v>
      </x:c>
      <x:c r="B14" s="12" t="n">
        <x:v>1533.45</x:v>
      </x:c>
      <x:c r="C14" s="12" t="n">
        <x:v>466.07</x:v>
      </x:c>
      <x:c r="D14" s="12" t="n">
        <x:f>B14-C14</x:f>
        <x:v>1067.38</x:v>
      </x:c>
      <x:c r="E14" s="12" t="n">
        <x:f>E13+D14</x:f>
        <x:v>402596.38</x:v>
      </x:c>
      <x:c r="F14" t="str">
        <x:f>TEXT(A14,"dd/mm")</x:f>
        <x:v>09/11</x:v>
      </x:c>
    </x:row>
    <x:row r="15" ht="22" customHeight="1">
      <x:c r="A15" s="13" t="d">
        <x:v>2026-11-10T12:00:00.000Z</x:v>
      </x:c>
      <x:c r="B15" s="12" t="n">
        <x:v>1518.78</x:v>
      </x:c>
      <x:c r="C15" s="12" t="n">
        <x:v>293.77</x:v>
      </x:c>
      <x:c r="D15" s="12" t="n">
        <x:f>B15-C15</x:f>
        <x:v>1225.01</x:v>
      </x:c>
      <x:c r="E15" s="12" t="n">
        <x:f>E14+D15</x:f>
        <x:v>403821.39</x:v>
      </x:c>
      <x:c r="F15" t="str">
        <x:f>TEXT(A15,"dd/mm")</x:f>
        <x:v>10/11</x:v>
      </x:c>
    </x:row>
    <x:row r="16" ht="22" customHeight="1">
      <x:c r="A16" s="13" t="d">
        <x:v>2026-11-11T12:00:00.000Z</x:v>
      </x:c>
      <x:c r="B16" s="12" t="n">
        <x:v>1594.66</x:v>
      </x:c>
      <x:c r="C16" s="12" t="n">
        <x:v>395.63</x:v>
      </x:c>
      <x:c r="D16" s="12" t="n">
        <x:f>B16-C16</x:f>
        <x:v>1199.0300000000002</x:v>
      </x:c>
      <x:c r="E16" s="12" t="n">
        <x:f>E15+D16</x:f>
        <x:v>405020.42000000004</x:v>
      </x:c>
      <x:c r="F16" t="str">
        <x:f>TEXT(A16,"dd/mm")</x:f>
        <x:v>11/11</x:v>
      </x:c>
    </x:row>
    <x:row r="17" ht="22" customHeight="1">
      <x:c r="A17" s="13" t="d">
        <x:v>2026-11-12T12:00:00.000Z</x:v>
      </x:c>
      <x:c r="B17" s="12" t="n">
        <x:v>1549.3</x:v>
      </x:c>
      <x:c r="C17" s="12" t="n">
        <x:v>507.36</x:v>
      </x:c>
      <x:c r="D17" s="12" t="n">
        <x:f>B17-C17</x:f>
        <x:v>1041.94</x:v>
      </x:c>
      <x:c r="E17" s="12" t="n">
        <x:f>E16+D17</x:f>
        <x:v>406062.36000000004</x:v>
      </x:c>
      <x:c r="F17" t="str">
        <x:f>TEXT(A17,"dd/mm")</x:f>
        <x:v>12/11</x:v>
      </x:c>
    </x:row>
    <x:row r="18" ht="22" customHeight="1">
      <x:c r="A18" s="13" t="d">
        <x:v>2026-11-13T12:00:00.000Z</x:v>
      </x:c>
      <x:c r="B18" s="12" t="n">
        <x:v>1531.27</x:v>
      </x:c>
      <x:c r="C18" s="12" t="n">
        <x:v>908.82</x:v>
      </x:c>
      <x:c r="D18" s="12" t="n">
        <x:f>B18-C18</x:f>
        <x:v>622.4499999999999</x:v>
      </x:c>
      <x:c r="E18" s="12" t="n">
        <x:f>E17+D18</x:f>
        <x:v>406684.81000000006</x:v>
      </x:c>
      <x:c r="F18" t="str">
        <x:f>TEXT(A18,"dd/mm")</x:f>
        <x:v>13/11</x:v>
      </x:c>
    </x:row>
    <x:row r="19" ht="22" customHeight="1">
      <x:c r="A19" s="13" t="d">
        <x:v>2026-11-14T12:00:00.000Z</x:v>
      </x:c>
      <x:c r="B19" s="12" t="n">
        <x:v>893.01</x:v>
      </x:c>
      <x:c r="C19" s="12" t="n">
        <x:v>149.42</x:v>
      </x:c>
      <x:c r="D19" s="12" t="n">
        <x:f>B19-C19</x:f>
        <x:v>743.59</x:v>
      </x:c>
      <x:c r="E19" s="12" t="n">
        <x:f>E18+D19</x:f>
        <x:v>407428.4000000001</x:v>
      </x:c>
      <x:c r="F19" t="str">
        <x:f>TEXT(A19,"dd/mm")</x:f>
        <x:v>14/11</x:v>
      </x:c>
    </x:row>
    <x:row r="20" ht="22" customHeight="1">
      <x:c r="A20" s="13" t="d">
        <x:v>2026-11-15T12:00:00.000Z</x:v>
      </x:c>
      <x:c r="B20" s="12" t="n">
        <x:v>919</x:v>
      </x:c>
      <x:c r="C20" s="12" t="n">
        <x:v>299.91</x:v>
      </x:c>
      <x:c r="D20" s="12" t="n">
        <x:f>B20-C20</x:f>
        <x:v>619.0899999999999</x:v>
      </x:c>
      <x:c r="E20" s="12" t="n">
        <x:f>E19+D20</x:f>
        <x:v>408047.4900000001</x:v>
      </x:c>
      <x:c r="F20" t="str">
        <x:f>TEXT(A20,"dd/mm")</x:f>
        <x:v>15/11</x:v>
      </x:c>
    </x:row>
    <x:row r="21" ht="22" customHeight="1">
      <x:c r="A21" s="13" t="d">
        <x:v>2026-11-16T12:00:00.000Z</x:v>
      </x:c>
      <x:c r="B21" s="12" t="n">
        <x:v>1523.03</x:v>
      </x:c>
      <x:c r="C21" s="12" t="n">
        <x:v>367.37</x:v>
      </x:c>
      <x:c r="D21" s="12" t="n">
        <x:f>B21-C21</x:f>
        <x:v>1155.6599999999999</x:v>
      </x:c>
      <x:c r="E21" s="12" t="n">
        <x:f>E20+D21</x:f>
        <x:v>409203.1500000001</x:v>
      </x:c>
      <x:c r="F21" t="str">
        <x:f>TEXT(A21,"dd/mm")</x:f>
        <x:v>16/11</x:v>
      </x:c>
    </x:row>
    <x:row r="22" ht="22" customHeight="1">
      <x:c r="A22" s="13" t="d">
        <x:v>2026-11-17T12:00:00.000Z</x:v>
      </x:c>
      <x:c r="B22" s="12" t="n">
        <x:v>1548.51</x:v>
      </x:c>
      <x:c r="C22" s="12" t="n">
        <x:v>415.75</x:v>
      </x:c>
      <x:c r="D22" s="12" t="n">
        <x:f>B22-C22</x:f>
        <x:v>1132.76</x:v>
      </x:c>
      <x:c r="E22" s="12" t="n">
        <x:f>E21+D22</x:f>
        <x:v>410335.9100000001</x:v>
      </x:c>
      <x:c r="F22" t="str">
        <x:f>TEXT(A22,"dd/mm")</x:f>
        <x:v>17/11</x:v>
      </x:c>
    </x:row>
    <x:row r="23" ht="22" customHeight="1">
      <x:c r="A23" s="13" t="d">
        <x:v>2026-11-18T12:00:00.000Z</x:v>
      </x:c>
      <x:c r="B23" s="12" t="n">
        <x:v>1551.59</x:v>
      </x:c>
      <x:c r="C23" s="12" t="n">
        <x:v>4212.43</x:v>
      </x:c>
      <x:c r="D23" s="12" t="n">
        <x:f>B23-C23</x:f>
        <x:v>-2660.84</x:v>
      </x:c>
      <x:c r="E23" s="12" t="n">
        <x:f>E22+D23</x:f>
        <x:v>407675.07000000007</x:v>
      </x:c>
      <x:c r="F23" t="str">
        <x:f>TEXT(A23,"dd/mm")</x:f>
        <x:v>18/11</x:v>
      </x:c>
    </x:row>
    <x:row r="24" ht="22" customHeight="1">
      <x:c r="A24" s="13" t="d">
        <x:v>2026-11-19T12:00:00.000Z</x:v>
      </x:c>
      <x:c r="B24" s="12" t="n">
        <x:v>1551.59</x:v>
      </x:c>
      <x:c r="C24" s="12" t="n">
        <x:v>195.77</x:v>
      </x:c>
      <x:c r="D24" s="12" t="n">
        <x:f>B24-C24</x:f>
        <x:v>1355.82</x:v>
      </x:c>
      <x:c r="E24" s="12" t="n">
        <x:f>E23+D24</x:f>
        <x:v>409030.8900000001</x:v>
      </x:c>
      <x:c r="F24" t="str">
        <x:f>TEXT(A24,"dd/mm")</x:f>
        <x:v>19/11</x:v>
      </x:c>
    </x:row>
    <x:row r="25" ht="22" customHeight="1">
      <x:c r="A25" s="13" t="d">
        <x:v>2026-11-20T12:00:00.000Z</x:v>
      </x:c>
      <x:c r="B25" s="12" t="n">
        <x:v>1586.01</x:v>
      </x:c>
      <x:c r="C25" s="12" t="n">
        <x:v>944.7</x:v>
      </x:c>
      <x:c r="D25" s="12" t="n">
        <x:f>B25-C25</x:f>
        <x:v>641.31</x:v>
      </x:c>
      <x:c r="E25" s="12" t="n">
        <x:f>E24+D25</x:f>
        <x:v>409672.20000000007</x:v>
      </x:c>
      <x:c r="F25" t="str">
        <x:f>TEXT(A25,"dd/mm")</x:f>
        <x:v>20/11</x:v>
      </x:c>
    </x:row>
    <x:row r="26" ht="22" customHeight="1">
      <x:c r="A26" s="13" t="d">
        <x:v>2026-11-21T12:00:00.000Z</x:v>
      </x:c>
      <x:c r="B26" s="12" t="n">
        <x:v>911.94</x:v>
      </x:c>
      <x:c r="C26" s="12" t="n">
        <x:v>23.37</x:v>
      </x:c>
      <x:c r="D26" s="12" t="n">
        <x:f>B26-C26</x:f>
        <x:v>888.57</x:v>
      </x:c>
      <x:c r="E26" s="12" t="n">
        <x:f>E25+D26</x:f>
        <x:v>410560.7700000001</x:v>
      </x:c>
      <x:c r="F26" t="str">
        <x:f>TEXT(A26,"dd/mm")</x:f>
        <x:v>21/11</x:v>
      </x:c>
    </x:row>
    <x:row r="27" ht="22" customHeight="1">
      <x:c r="A27" s="13" t="d">
        <x:v>2026-11-22T12:00:00.000Z</x:v>
      </x:c>
      <x:c r="B27" s="12" t="n">
        <x:v>913.68</x:v>
      </x:c>
      <x:c r="C27" s="12" t="n">
        <x:v>28.28</x:v>
      </x:c>
      <x:c r="D27" s="12" t="n">
        <x:f>B27-C27</x:f>
        <x:v>885.4</x:v>
      </x:c>
      <x:c r="E27" s="12" t="n">
        <x:f>E26+D27</x:f>
        <x:v>411446.1700000001</x:v>
      </x:c>
      <x:c r="F27" t="str">
        <x:f>TEXT(A27,"dd/mm")</x:f>
        <x:v>22/11</x:v>
      </x:c>
    </x:row>
    <x:row r="28" ht="22" customHeight="1">
      <x:c r="A28" s="13" t="d">
        <x:v>2026-11-23T12:00:00.000Z</x:v>
      </x:c>
      <x:c r="B28" s="12" t="n">
        <x:v>1566.94</x:v>
      </x:c>
      <x:c r="C28" s="12" t="n">
        <x:v>447.05</x:v>
      </x:c>
      <x:c r="D28" s="12" t="n">
        <x:f>B28-C28</x:f>
        <x:v>1119.89</x:v>
      </x:c>
      <x:c r="E28" s="12" t="n">
        <x:f>E27+D28</x:f>
        <x:v>412566.0600000001</x:v>
      </x:c>
      <x:c r="F28" t="str">
        <x:f>TEXT(A28,"dd/mm")</x:f>
        <x:v>23/11</x:v>
      </x:c>
    </x:row>
    <x:row r="29" ht="22" customHeight="1">
      <x:c r="A29" s="13" t="d">
        <x:v>2026-11-24T12:00:00.000Z</x:v>
      </x:c>
      <x:c r="B29" s="12" t="n">
        <x:v>1611.47</x:v>
      </x:c>
      <x:c r="C29" s="12" t="n">
        <x:v>295.44</x:v>
      </x:c>
      <x:c r="D29" s="12" t="n">
        <x:f>B29-C29</x:f>
        <x:v>1316.03</x:v>
      </x:c>
      <x:c r="E29" s="12" t="n">
        <x:f>E28+D29</x:f>
        <x:v>413882.09000000014</x:v>
      </x:c>
      <x:c r="F29" t="str">
        <x:f>TEXT(A29,"dd/mm")</x:f>
        <x:v>24/11</x:v>
      </x:c>
    </x:row>
    <x:row r="30" ht="22" customHeight="1">
      <x:c r="A30" s="13" t="d">
        <x:v>2026-11-25T12:00:00.000Z</x:v>
      </x:c>
      <x:c r="B30" s="12" t="n">
        <x:v>1580.63</x:v>
      </x:c>
      <x:c r="C30" s="12" t="n">
        <x:v>447.05</x:v>
      </x:c>
      <x:c r="D30" s="12" t="n">
        <x:f>B30-C30</x:f>
        <x:v>1133.5800000000002</x:v>
      </x:c>
      <x:c r="E30" s="12" t="n">
        <x:f>E29+D30</x:f>
        <x:v>415015.67000000016</x:v>
      </x:c>
      <x:c r="F30" t="str">
        <x:f>TEXT(A30,"dd/mm")</x:f>
        <x:v>25/11</x:v>
      </x:c>
    </x:row>
    <x:row r="31" ht="22" customHeight="1">
      <x:c r="A31" s="13" t="d">
        <x:v>2026-11-26T12:00:00.000Z</x:v>
      </x:c>
      <x:c r="B31" s="12" t="n">
        <x:v>1580.63</x:v>
      </x:c>
      <x:c r="C31" s="12" t="n">
        <x:v>369.1</x:v>
      </x:c>
      <x:c r="D31" s="12" t="n">
        <x:f>B31-C31</x:f>
        <x:v>1211.5300000000002</x:v>
      </x:c>
      <x:c r="E31" s="12" t="n">
        <x:f>E30+D31</x:f>
        <x:v>416227.2000000002</x:v>
      </x:c>
      <x:c r="F31" t="str">
        <x:f>TEXT(A31,"dd/mm")</x:f>
        <x:v>26/11</x:v>
      </x:c>
    </x:row>
  </x:sheetData>
  <x:pageMargins left="0.7" right="0.7" top="0.75" bottom="0.75" header="0.3" footer="0.3"/>
  <x:drawing xmlns:r="http://schemas.openxmlformats.org/officeDocument/2006/relationships" r:id="R973b3a209bc84a5a"/>
  <x:tableParts count="1">
    <x:tablePart xmlns:r="http://schemas.openxmlformats.org/officeDocument/2006/relationships" r:id="Rfdceae4098b3429e"/>
  </x:tableParts>
</x:worksheet>
</file>

<file path=xl/worksheets/sheet3.xml><?xml version="1.0" encoding="utf-8"?>
<x:worksheet xmlns:x="http://schemas.openxmlformats.org/spreadsheetml/2006/main">
  <x:sheetPr>
    <x:tabColor rgb="FF258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27" hidden="0" customWidth="1"/>
    <x:col min="4" max="4" width="27" hidden="0" customWidth="1"/>
    <x:col min="5" max="5" width="22" hidden="0" customWidth="1"/>
    <x:col min="6" max="6" width="24" hidden="0" customWidth="1"/>
    <x:col min="7" max="7" width="17" hidden="0" customWidth="1"/>
    <x:col min="8" max="8" width="17" hidden="0" customWidth="1"/>
  </x:cols>
  <x:sheetData>
    <x:row r="1" ht="35" customHeight="1">
      <x:c r="A1" s="5" t="str">
        <x:v>Série</x:v>
      </x:c>
      <x:c r="B1" s="5" t="str">
        <x:v>Método escolhido</x:v>
      </x:c>
      <x:c r="C1" s="5" t="str">
        <x:v>MAE LightGBM (R$/dia)</x:v>
      </x:c>
      <x:c r="D1" s="5" t="str">
        <x:v>MAE referência (R$/dia)</x:v>
      </x:c>
      <x:c r="E1" s="5" t="str">
        <x:v>WAPE escolhido</x:v>
      </x:c>
      <x:c r="F1" s="5" t="str">
        <x:v>Dias de validação</x:v>
      </x:c>
      <x:c r="G1" s="5" t="str">
        <x:v>Início</x:v>
      </x:c>
      <x:c r="H1" s="5" t="str">
        <x:v>Fim</x:v>
      </x:c>
    </x:row>
    <x:row r="2" ht="22" customHeight="1">
      <x:c r="A2" s="1" t="str">
        <x:v>Receitas</x:v>
      </x:c>
      <x:c r="B2" s="1" t="str">
        <x:v>LightGBM Regressor</x:v>
      </x:c>
      <x:c r="C2" s="12" t="n">
        <x:v>135.89</x:v>
      </x:c>
      <x:c r="D2" s="12" t="n">
        <x:v>145.59</x:v>
      </x:c>
      <x:c r="E2" s="14" t="n">
        <x:v>0.1221</x:v>
      </x:c>
      <x:c r="F2" s="1" t="n">
        <x:v>21</x:v>
      </x:c>
      <x:c r="G2" s="1" t="str">
        <x:v>2026-10-07</x:v>
      </x:c>
      <x:c r="H2" s="1" t="str">
        <x:v>2026-10-27</x:v>
      </x:c>
    </x:row>
    <x:row r="3" ht="22" customHeight="1">
      <x:c r="A3" s="1" t="str">
        <x:v>Despesas</x:v>
      </x:c>
      <x:c r="B3" s="1" t="str">
        <x:v>LightGBM Regressor</x:v>
      </x:c>
      <x:c r="C3" s="12" t="n">
        <x:v>126.68</x:v>
      </x:c>
      <x:c r="D3" s="12" t="n">
        <x:v>2078.73</x:v>
      </x:c>
      <x:c r="E3" s="14" t="n">
        <x:v>0.3001</x:v>
      </x:c>
      <x:c r="F3" s="1" t="n">
        <x:v>21</x:v>
      </x:c>
      <x:c r="G3" s="1" t="str">
        <x:v>2026-10-07</x:v>
      </x:c>
      <x:c r="H3" s="1" t="str">
        <x:v>2026-10-27</x:v>
      </x:c>
    </x:row>
  </x:sheetData>
  <x:pageMargins left="0.7" right="0.7" top="0.75" bottom="0.75" header="0.3" footer="0.3"/>
  <x:tableParts count="1">
    <x:tablePart xmlns:r="http://schemas.openxmlformats.org/officeDocument/2006/relationships" r:id="Ref2e695e39574d6d"/>
  </x:tableParts>
</x:worksheet>
</file>